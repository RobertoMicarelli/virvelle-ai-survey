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poste Survey AI" sheetId="1" state="visible" r:id="rId1"/>
    <sheet xmlns:r="http://schemas.openxmlformats.org/officeDocument/2006/relationships" name="Analisi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6FF"/>
      <sz val="14"/>
    </font>
    <font>
      <b val="1"/>
      <sz val="1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66FF"/>
        <bgColor rgb="000066FF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  <col width="25" customWidth="1" min="5" max="5"/>
    <col width="20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Timestamp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Email</t>
        </is>
      </c>
      <c r="E1" s="1" t="inlineStr">
        <is>
          <t>Q1 - Ruolo</t>
        </is>
      </c>
      <c r="F1" s="1" t="inlineStr">
        <is>
          <t>Q2 - Frequenza Uso AI</t>
        </is>
      </c>
      <c r="G1" s="1" t="inlineStr">
        <is>
          <t>Q3 - Strumenti Usati</t>
        </is>
      </c>
      <c r="H1" s="1" t="inlineStr">
        <is>
          <t>Q4 - Obiettivo Formazione</t>
        </is>
      </c>
      <c r="I1" s="1" t="inlineStr">
        <is>
          <t>Q5 - Token</t>
        </is>
      </c>
      <c r="J1" s="1" t="inlineStr">
        <is>
          <t>Q6 - Context Window</t>
        </is>
      </c>
      <c r="K1" s="1" t="inlineStr">
        <is>
          <t>Q7 - Affermazione Corretta</t>
        </is>
      </c>
      <c r="L1" s="1" t="inlineStr">
        <is>
          <t>Q8 - Allucinazioni</t>
        </is>
      </c>
      <c r="M1" s="1" t="inlineStr">
        <is>
          <t>Q9 - Qualità Prompt</t>
        </is>
      </c>
      <c r="N1" s="1" t="inlineStr">
        <is>
          <t>Q10 - Prompt Efficace</t>
        </is>
      </c>
      <c r="O1" s="1" t="inlineStr">
        <is>
          <t>Q11 - Few-shot</t>
        </is>
      </c>
      <c r="P1" s="1" t="inlineStr">
        <is>
          <t>Q12 - Chain-of-thought</t>
        </is>
      </c>
      <c r="Q1" s="1" t="inlineStr">
        <is>
          <t>Q13 - Iterazione</t>
        </is>
      </c>
      <c r="R1" s="1" t="inlineStr">
        <is>
          <t>Q14 - Projects</t>
        </is>
      </c>
      <c r="S1" s="1" t="inlineStr">
        <is>
          <t>Q15 - Custom Instructions</t>
        </is>
      </c>
      <c r="T1" s="1" t="inlineStr">
        <is>
          <t>Q16 - GPT/Gem</t>
        </is>
      </c>
      <c r="U1" s="1" t="inlineStr">
        <is>
          <t>Q17 - Analisi Documenti</t>
        </is>
      </c>
      <c r="V1" s="1" t="inlineStr">
        <is>
          <t>Q18 - Search vs Deep</t>
        </is>
      </c>
      <c r="W1" s="1" t="inlineStr">
        <is>
          <t>Q19 - Sicurezza Dati</t>
        </is>
      </c>
      <c r="X1" s="1" t="inlineStr">
        <is>
          <t>Q20 - Policy Aziendali</t>
        </is>
      </c>
      <c r="Y1" s="1" t="inlineStr">
        <is>
          <t>Q21 - Agenti AI</t>
        </is>
      </c>
      <c r="Z1" s="1" t="inlineStr">
        <is>
          <t>Q22 - N8N/Workflow</t>
        </is>
      </c>
      <c r="AA1" s="1" t="inlineStr">
        <is>
          <t>Q23 - Sfida Quotidiana</t>
        </is>
      </c>
      <c r="AB1" s="1" t="inlineStr">
        <is>
          <t>Q24 - Sicurezza 1-5</t>
        </is>
      </c>
      <c r="AC1" s="1" t="inlineStr">
        <is>
          <t>Q25 - Caso Uso Specifico</t>
        </is>
      </c>
      <c r="AD1" s="1" t="inlineStr">
        <is>
          <t>Livello Calcolato</t>
        </is>
      </c>
      <c r="AE1" s="1" t="inlineStr">
        <is>
          <t>Note</t>
        </is>
      </c>
    </row>
    <row r="2">
      <c r="A2" s="2" t="inlineStr">
        <is>
          <t>2024-12-01 14:30</t>
        </is>
      </c>
      <c r="B2" s="2" t="inlineStr">
        <is>
          <t>Mario</t>
        </is>
      </c>
      <c r="C2" s="2" t="inlineStr">
        <is>
          <t>Rossi</t>
        </is>
      </c>
      <c r="D2" s="2" t="inlineStr">
        <is>
          <t>mario.rossi@virvelle.com</t>
        </is>
      </c>
      <c r="E2" s="2" t="inlineStr">
        <is>
          <t>Commerciale</t>
        </is>
      </c>
      <c r="F2" s="2" t="inlineStr">
        <is>
          <t>Regolarmente</t>
        </is>
      </c>
      <c r="G2" s="2" t="inlineStr">
        <is>
          <t>ChatGPT free, Gemini</t>
        </is>
      </c>
      <c r="H2" s="2" t="inlineStr">
        <is>
          <t>Migliorare efficienza</t>
        </is>
      </c>
      <c r="I2" s="2" t="inlineStr">
        <is>
          <t>Unità base</t>
        </is>
      </c>
      <c r="J2" s="2" t="inlineStr">
        <is>
          <t>Memoria</t>
        </is>
      </c>
      <c r="K2" s="2" t="inlineStr">
        <is>
          <t>Probabilistiche</t>
        </is>
      </c>
      <c r="L2" s="2" t="inlineStr">
        <is>
          <t>Predice sequenza</t>
        </is>
      </c>
      <c r="M2" s="2" t="inlineStr">
        <is>
          <t>Qualche dettaglio</t>
        </is>
      </c>
      <c r="N2" s="2" t="inlineStr">
        <is>
          <t>C</t>
        </is>
      </c>
      <c r="O2" s="2" t="inlineStr">
        <is>
          <t>Esempi</t>
        </is>
      </c>
      <c r="P2" s="2" t="inlineStr">
        <is>
          <t>Ragionamento</t>
        </is>
      </c>
      <c r="Q2" s="2" t="inlineStr">
        <is>
          <t>Sì qualche volta</t>
        </is>
      </c>
      <c r="R2" s="2" t="inlineStr">
        <is>
          <t>So esistono</t>
        </is>
      </c>
      <c r="S2" s="2" t="inlineStr">
        <is>
          <t>So esistono</t>
        </is>
      </c>
      <c r="T2" s="2" t="inlineStr">
        <is>
          <t>Uno per prova</t>
        </is>
      </c>
      <c r="U2" s="2" t="inlineStr">
        <is>
          <t>Carico file</t>
        </is>
      </c>
      <c r="V2" s="2" t="inlineStr">
        <is>
          <t>Sentito parlare</t>
        </is>
      </c>
      <c r="W2" s="2" t="inlineStr">
        <is>
          <t>Dati sensibili</t>
        </is>
      </c>
      <c r="X2" s="2" t="inlineStr">
        <is>
          <t>Esistono</t>
        </is>
      </c>
      <c r="Y2" s="2" t="inlineStr">
        <is>
          <t>Sistemi autonomi</t>
        </is>
      </c>
      <c r="Z2" s="2" t="inlineStr">
        <is>
          <t>Vagamente</t>
        </is>
      </c>
      <c r="AA2" s="2" t="inlineStr">
        <is>
          <t>Analisi bandi troppo lenta</t>
        </is>
      </c>
      <c r="AB2" s="2" t="inlineStr">
        <is>
          <t>3</t>
        </is>
      </c>
      <c r="AC2" s="2" t="inlineStr">
        <is>
          <t>Email commerciali</t>
        </is>
      </c>
      <c r="AD2" s="2" t="inlineStr">
        <is>
          <t>INTERMEDIO</t>
        </is>
      </c>
      <c r="A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3" t="inlineStr">
        <is>
          <t>ANALISI RISPOSTE SURVEY AI TOOLKIT</t>
        </is>
      </c>
    </row>
    <row r="3">
      <c r="A3" s="4" t="inlineStr">
        <is>
          <t>Totale Risposte:</t>
        </is>
      </c>
      <c r="B3">
        <f>COUNTA('Risposte Survey AI'!B:B)-1</f>
        <v/>
      </c>
    </row>
    <row r="5">
      <c r="A5" s="5" t="inlineStr">
        <is>
          <t>Distribuzione per Ruolo</t>
        </is>
      </c>
    </row>
    <row r="6">
      <c r="A6" t="inlineStr">
        <is>
          <t>Commerciale/Business Development</t>
        </is>
      </c>
      <c r="B6">
        <f>COUNTIF('Risposte Survey AI'!D:D,"Commerciale/Business Development")</f>
        <v/>
      </c>
    </row>
    <row r="7">
      <c r="A7" t="inlineStr">
        <is>
          <t>Tutor d'aula</t>
        </is>
      </c>
      <c r="B7">
        <f>COUNTIF('Risposte Survey AI'!D:D,"Tutor d'aula")</f>
        <v/>
      </c>
    </row>
    <row r="8">
      <c r="A8" t="inlineStr">
        <is>
          <t>Designer formativo/Progettista</t>
        </is>
      </c>
      <c r="B8">
        <f>COUNTIF('Risposte Survey AI'!D:D,"Designer formativo/Progettista")</f>
        <v/>
      </c>
    </row>
    <row r="9">
      <c r="A9" t="inlineStr">
        <is>
          <t>Management</t>
        </is>
      </c>
      <c r="B9">
        <f>COUNTIF('Risposte Survey AI'!D:D,"Management")</f>
        <v/>
      </c>
    </row>
    <row r="10">
      <c r="A10" t="inlineStr">
        <is>
          <t>Amministrativo/Compliance</t>
        </is>
      </c>
      <c r="B10">
        <f>COUNTIF('Risposte Survey AI'!D:D,"Amministrativo/Compliance")</f>
        <v/>
      </c>
    </row>
    <row r="11">
      <c r="A11" t="inlineStr">
        <is>
          <t>Operativo</t>
        </is>
      </c>
      <c r="B11">
        <f>COUNTIF('Risposte Survey AI'!D:D,"Operativo")</f>
        <v/>
      </c>
    </row>
    <row r="13">
      <c r="A13" s="5" t="inlineStr">
        <is>
          <t>Distribuzione per Livello</t>
        </is>
      </c>
    </row>
    <row r="14">
      <c r="A14" t="inlineStr">
        <is>
          <t>BASE</t>
        </is>
      </c>
      <c r="B14">
        <f>COUNTIF('Risposte Survey AI'!AC:AC,"BASE")</f>
        <v/>
      </c>
    </row>
    <row r="15">
      <c r="A15" t="inlineStr">
        <is>
          <t>INTERMEDIO</t>
        </is>
      </c>
      <c r="B15">
        <f>COUNTIF('Risposte Survey AI'!AC:AC,"INTERMEDIO")</f>
        <v/>
      </c>
    </row>
    <row r="16">
      <c r="A16" t="inlineStr">
        <is>
          <t>AVANZATO</t>
        </is>
      </c>
      <c r="B16">
        <f>COUNTIF('Risposte Survey AI'!AC:AC,"AVANZATO")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/>
    </row>
    <row r="2">
      <c r="A2" s="7" t="inlineStr">
        <is>
          <t>Come utilizzare questo file:</t>
        </is>
      </c>
    </row>
    <row r="3">
      <c r="A3" t="inlineStr"/>
    </row>
    <row r="4">
      <c r="A4" s="7" t="inlineStr">
        <is>
          <t>1. Riceverai un'email per ogni risposta alla survey a roberto.micarelli@gmail.com</t>
        </is>
      </c>
    </row>
    <row r="5">
      <c r="A5" t="inlineStr"/>
    </row>
    <row r="6">
      <c r="A6" s="7" t="inlineStr">
        <is>
          <t>2. Ogni email conterrà:</t>
        </is>
      </c>
    </row>
    <row r="7">
      <c r="A7" t="inlineStr">
        <is>
          <t xml:space="preserve">   - I dati del partecipante (Nome, Cognome, Email)</t>
        </is>
      </c>
    </row>
    <row r="8">
      <c r="A8" t="inlineStr">
        <is>
          <t xml:space="preserve">   - Tutte le risposte alle 25 domande</t>
        </is>
      </c>
    </row>
    <row r="9">
      <c r="A9" t="inlineStr">
        <is>
          <t xml:space="preserve">   - Una sezione CSV pronta per essere copiata in Excel</t>
        </is>
      </c>
    </row>
    <row r="10">
      <c r="A10" t="inlineStr"/>
    </row>
    <row r="11">
      <c r="A11" s="7" t="inlineStr">
        <is>
          <t>3. Per importare i dati:</t>
        </is>
      </c>
    </row>
    <row r="12">
      <c r="A12" t="inlineStr">
        <is>
          <t xml:space="preserve">   a) Copia la sezione CSV dall'email</t>
        </is>
      </c>
    </row>
    <row r="13">
      <c r="A13" t="inlineStr">
        <is>
          <t xml:space="preserve">   b) Incolla nella tab 'Risposte Survey AI' alla riga successiva libera</t>
        </is>
      </c>
    </row>
    <row r="14">
      <c r="A14" t="inlineStr">
        <is>
          <t xml:space="preserve">   c) I dati si formatteranno automaticamente</t>
        </is>
      </c>
    </row>
    <row r="15">
      <c r="A15" t="inlineStr"/>
    </row>
    <row r="16">
      <c r="A16" s="7" t="inlineStr">
        <is>
          <t>4. La colonna 'Livello Calcolato' va compilata manualmente:</t>
        </is>
      </c>
    </row>
    <row r="17">
      <c r="A17" t="inlineStr">
        <is>
          <t xml:space="preserve">   - BASE (0-8 punti): Risponde 'Non so' a molte domande tecniche</t>
        </is>
      </c>
    </row>
    <row r="18">
      <c r="A18" t="inlineStr">
        <is>
          <t xml:space="preserve">   - INTERMEDIO (9-16 punti): Usa già AI ma senza tecniche avanzate</t>
        </is>
      </c>
    </row>
    <row r="19">
      <c r="A19" t="inlineStr">
        <is>
          <t xml:space="preserve">   - AVANZATO (17-25 punti): Conosce prompting avanzato, Projects, GPTs, etc.</t>
        </is>
      </c>
    </row>
    <row r="20">
      <c r="A20" t="inlineStr"/>
    </row>
    <row r="21">
      <c r="A21" s="7" t="inlineStr">
        <is>
          <t>5. La tab 'Analisi' si aggiornerà automaticamente con le statistiche</t>
        </is>
      </c>
    </row>
    <row r="22">
      <c r="A22" t="inlineStr"/>
    </row>
    <row r="23">
      <c r="A23" s="7" t="inlineStr">
        <is>
          <t>6. Privacy: I dati sono utilizzati solo per personalizzare la formazione</t>
        </is>
      </c>
    </row>
    <row r="24">
      <c r="A24" t="inlineStr"/>
    </row>
    <row r="25">
      <c r="A25" t="inlineStr">
        <is>
          <t>NOTA: Il formato CSV nell'email è già ottimizzato per Excel!</t>
        </is>
      </c>
    </row>
    <row r="26">
      <c r="A26" t="inlineStr">
        <is>
          <t>Basta copiare e incollare direttamente nel foglio.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2025-12-01T19:32:34Z</dcterms:created>
  <dcterms:modified xmlns:dcterms="http://purl.org/dc/terms/" xmlns:xsi="http://www.w3.org/2001/XMLSchema-instance" xsi:type="dcterms:W3CDTF">2025-12-01T19:44:30Z</dcterms:modified>
</cp:coreProperties>
</file>